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3"/>
  </bookViews>
  <sheets>
    <sheet name="assessments(Row)" sheetId="1" r:id="rId1"/>
    <sheet name="courses(lookup)" sheetId="4" r:id="rId2"/>
    <sheet name="Clean" sheetId="5" r:id="rId3"/>
    <sheet name="Summary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<sst xmlns="http://schemas.openxmlformats.org/spreadsheetml/2006/main" count="124" uniqueCount="36">
  <si>
    <t>assessment_id</t>
  </si>
  <si>
    <t>month</t>
  </si>
  <si>
    <t>course_id</t>
  </si>
  <si>
    <t>batch</t>
  </si>
  <si>
    <t>score</t>
  </si>
  <si>
    <t>attendance_pct</t>
  </si>
  <si>
    <t>pass_flag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</si>
  <si>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</si>
  <si>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</si>
  <si>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</si>
  <si>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</si>
  <si>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</si>
  <si>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</si>
  <si>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</si>
  <si>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</si>
  <si>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</si>
  <si>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</si>
  <si>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</si>
  <si>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</si>
  <si>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</si>
  <si>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</si>
  <si>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</si>
  <si>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</si>
  <si>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</si>
  <si>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</si>
  <si>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Department</t>
  </si>
  <si>
    <t>Item</t>
  </si>
  <si>
    <t>Count</t>
  </si>
  <si>
    <t>Before duplicate removal</t>
  </si>
  <si>
    <t>After duplicate removal</t>
  </si>
  <si>
    <t>Batch</t>
  </si>
  <si>
    <t>Passing Assessments</t>
  </si>
  <si>
    <t>Average of score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</si>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</sst>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" fillId="33" borderId="0" applyNumberFormat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NumberFormat="1" applyFont="1" applyFill="1"/>
    <xf numFmtId="2" fontId="2" fillId="2" borderId="0" xfId="0" applyNumberFormat="1" applyFont="1" applyFill="1"/>
    <xf numFmtId="49" fontId="2" fillId="2" borderId="0" xfId="0" applyNumberFormat="1" applyFont="1" applyFill="1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2"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2" formatCode="0.00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49" formatCode="@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49" formatCode="@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2" formatCode="0.00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2" formatCode="0.00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49" formatCode="@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  <alignment vertical="center" wrapText="1"/>
    </dxf>
    <dxf>
      <font>
        <name val="Calibri"/>
        <scheme val="none"/>
        <b val="1"/>
        <i val="0"/>
        <strike val="0"/>
        <u val="none"/>
        <sz val="11"/>
        <color theme="0"/>
      </font>
      <fill>
        <patternFill patternType="solid">
          <bgColor theme="1"/>
        </patternFill>
      </fill>
      <alignment horizontal="right" vertical="center" wrapText="1"/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[excel.xlsx]Summary!PivotTable7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Average Score by Department and Month</a:t>
            </a:r>
            <a:endParaRPr lang="en-IN" b="1" baseline="0">
              <a:solidFill>
                <a:sysClr val="windowText" lastClr="000000"/>
              </a:solidFill>
            </a:endParaRPr>
          </a:p>
        </c:rich>
      </c:tx>
      <c:layout/>
      <c:overlay val="0"/>
      <c:spPr>
        <a:solidFill>
          <a:schemeClr val="bg1"/>
        </a:solidFill>
        <a:ln w="19050" cap="flat" cmpd="sng" algn="ctr">
          <a:solidFill>
            <a:schemeClr val="lt1"/>
          </a:solidFill>
          <a:prstDash val="solid"/>
          <a:miter lim="800000"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Summary!$B$9:$B$10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Summary!$A$11:$A$13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Summary!$B$11:$B$13</c:f>
              <c:numCache>
                <c:formatCode>General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</c:ser>
        <c:ser>
          <c:idx val="1"/>
          <c:order val="1"/>
          <c:tx>
            <c:strRef>
              <c:f>Summary!$C$9:$C$10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Summary!$A$11:$A$13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Summary!$C$11:$C$13</c:f>
              <c:numCache>
                <c:formatCode>General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</c:ser>
        <c:ser>
          <c:idx val="2"/>
          <c:order val="2"/>
          <c:tx>
            <c:strRef>
              <c:f>Summary!$D$9:$D$10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Summary!$A$11:$A$13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Summary!$D$11:$D$13</c:f>
              <c:numCache>
                <c:formatCode>General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809104"/>
        <c:axId val="549804112"/>
      </c:barChart>
      <c:catAx>
        <c:axId val="54980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Cascadia Code ExtraLight" panose="020B0609020000020004" pitchFamily="49" charset="0"/>
              </a:defRPr>
            </a:pPr>
          </a:p>
        </c:txPr>
        <c:crossAx val="549804112"/>
        <c:crosses val="autoZero"/>
        <c:auto val="1"/>
        <c:lblAlgn val="ctr"/>
        <c:lblOffset val="100"/>
        <c:noMultiLvlLbl val="0"/>
      </c:catAx>
      <c:valAx>
        <c:axId val="54980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Cascadia Code ExtraLight" panose="020B0609020000020004" pitchFamily="49" charset="0"/>
              </a:defRPr>
            </a:pPr>
          </a:p>
        </c:txPr>
        <c:crossAx val="54980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Cascadia Code ExtraLight" panose="020B0609020000020004" pitchFamily="49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903f8-c2b5-4cb9-b05b-ed33174c796f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aseline="0">
          <a:solidFill>
            <a:schemeClr val="bg1"/>
          </a:solidFill>
          <a:cs typeface="Cascadia Code ExtraLight" panose="020B0609020000020004" pitchFamily="49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9525</xdr:colOff>
      <xdr:row>7</xdr:row>
      <xdr:rowOff>180975</xdr:rowOff>
    </xdr:from>
    <xdr:to>
      <xdr:col>18</xdr:col>
      <xdr:colOff>57150</xdr:colOff>
      <xdr:row>27</xdr:row>
      <xdr:rowOff>180975</xdr:rowOff>
    </xdr:to>
    <xdr:graphicFrame>
      <xdr:nvGraphicFramePr>
        <xdr:cNvPr id="2" name="Chart 1"/>
        <xdr:cNvGraphicFramePr/>
      </xdr:nvGraphicFramePr>
      <xdr:xfrm>
        <a:off x="4457700" y="1514475"/>
        <a:ext cx="7248525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291.5770306713" refreshedBy="hp" recordCount="13">
  <cacheSource type="worksheet">
    <worksheetSource name="Table46"/>
  </cacheSource>
  <cacheFields count="8">
    <cacheField name="assessment_id" numFmtId="2"/>
    <cacheField name="month" numFmtId="49">
      <sharedItems containsBlank="1" count="4">
        <s v="Jan"/>
        <s v="Feb"/>
        <s v="Mar"/>
        <m/>
      </sharedItems>
    </cacheField>
    <cacheField name="course_id" numFmtId="49"/>
    <cacheField name="batch" numFmtId="0"/>
    <cacheField name="score" numFmtId="2">
      <sharedItems containsString="0" containsBlank="1" containsNumber="1" containsInteger="1" minValue="0" maxValue="90" count="13">
        <n v="72"/>
        <n v="45"/>
        <n v="65"/>
        <n v="38"/>
        <n v="80"/>
        <n v="55"/>
        <n v="48"/>
        <n v="68"/>
        <n v="90"/>
        <n v="60"/>
        <n v="75"/>
        <n v="42"/>
        <m/>
      </sharedItems>
    </cacheField>
    <cacheField name="attendance_pct" numFmtId="2"/>
    <cacheField name="Department" numFmtId="49">
      <sharedItems containsBlank="1" count="3">
        <s v="Business"/>
        <s v="Technology"/>
        <m/>
      </sharedItems>
    </cacheField>
    <cacheField name="pass_flag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n v="1"/>
    <x v="0"/>
    <s v="C1"/>
    <s v="Morning"/>
    <x v="0"/>
    <n v="90"/>
    <x v="0"/>
    <n v="1"/>
  </r>
  <r>
    <n v="2"/>
    <x v="0"/>
    <s v="C2"/>
    <s v="Evening"/>
    <x v="1"/>
    <n v="70"/>
    <x v="0"/>
    <n v="0"/>
  </r>
  <r>
    <n v="3"/>
    <x v="0"/>
    <s v="C3"/>
    <s v="Morning"/>
    <x v="2"/>
    <n v="85"/>
    <x v="1"/>
    <n v="1"/>
  </r>
  <r>
    <n v="4"/>
    <x v="0"/>
    <s v="C4"/>
    <s v="Weekend"/>
    <x v="3"/>
    <n v="60"/>
    <x v="1"/>
    <n v="0"/>
  </r>
  <r>
    <n v="5"/>
    <x v="1"/>
    <s v="C1"/>
    <s v="Evening"/>
    <x v="4"/>
    <n v="95"/>
    <x v="0"/>
    <n v="1"/>
  </r>
  <r>
    <n v="6"/>
    <x v="1"/>
    <s v="C2"/>
    <s v="Weekend"/>
    <x v="5"/>
    <n v="80"/>
    <x v="0"/>
    <n v="1"/>
  </r>
  <r>
    <n v="7"/>
    <x v="1"/>
    <s v="C3"/>
    <s v="Morning"/>
    <x v="6"/>
    <n v="75"/>
    <x v="1"/>
    <n v="0"/>
  </r>
  <r>
    <n v="8"/>
    <x v="1"/>
    <s v="C4"/>
    <s v="Evening"/>
    <x v="7"/>
    <n v="88"/>
    <x v="1"/>
    <n v="1"/>
  </r>
  <r>
    <n v="9"/>
    <x v="2"/>
    <s v="C1"/>
    <s v="Weekend"/>
    <x v="8"/>
    <n v="98"/>
    <x v="0"/>
    <n v="1"/>
  </r>
  <r>
    <n v="10"/>
    <x v="2"/>
    <s v="C2"/>
    <s v="Morning"/>
    <x v="9"/>
    <n v="82"/>
    <x v="0"/>
    <n v="1"/>
  </r>
  <r>
    <n v="11"/>
    <x v="2"/>
    <s v="C3"/>
    <s v="Evening"/>
    <x v="10"/>
    <n v="92"/>
    <x v="1"/>
    <n v="1"/>
  </r>
  <r>
    <n v="12"/>
    <x v="2"/>
    <s v="C4"/>
    <s v="Weekend"/>
    <x v="11"/>
    <n v="65"/>
    <x v="1"/>
    <n v="0"/>
  </r>
  <r>
    <m/>
    <x v="3"/>
    <m/>
    <m/>
    <x v="12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">
  <location ref="A9:E13" firstHeaderRow="1" firstDataRow="2" firstDataCol="1"/>
  <pivotFields count="8"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>
      <items count="14">
        <item x="3"/>
        <item x="11"/>
        <item x="1"/>
        <item x="6"/>
        <item x="5"/>
        <item x="9"/>
        <item x="2"/>
        <item x="7"/>
        <item x="0"/>
        <item x="10"/>
        <item x="4"/>
        <item x="8"/>
        <item x="1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core" fld="4" subtotal="average" baseField="6" baseItem="0"/>
  </dataFields>
  <formats count="3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" type="button" dataOnly="0" labelOnly="1" outline="0" fieldPosition="0"/>
    </format>
    <format dxfId="4">
      <pivotArea type="topRight" dataOnly="0" labelOnly="1" outline="0" fieldPosition="0"/>
    </format>
    <format dxfId="5">
      <pivotArea field="6" type="button" dataOnly="0" labelOnly="1" outline="0" fieldPosition="0"/>
    </format>
    <format dxfId="6">
      <pivotArea dataOnly="0" labelOnly="1" fieldPosition="0">
        <references count="1">
          <reference field="6" count="2">
            <x v="0"/>
            <x v="1"/>
          </reference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1" count="0"/>
        </references>
      </pivotArea>
    </format>
    <format dxfId="9">
      <pivotArea dataOnly="0" labelOnly="1" grandCol="1" outline="0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1" type="button" dataOnly="0" labelOnly="1" outline="0" fieldPosition="0"/>
    </format>
    <format dxfId="14">
      <pivotArea type="topRight" dataOnly="0" labelOnly="1" outline="0" fieldPosition="0"/>
    </format>
    <format dxfId="15">
      <pivotArea field="6" type="button" dataOnly="0" labelOnly="1" outline="0" fieldPosition="0"/>
    </format>
    <format dxfId="16">
      <pivotArea dataOnly="0" labelOnly="1" fieldPosition="0">
        <references count="1">
          <reference field="6" count="2">
            <x v="0"/>
            <x v="1"/>
          </reference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type="origin" dataOnly="0" labelOnly="1" outline="0" fieldPosition="0"/>
    </format>
    <format dxfId="23">
      <pivotArea field="1" type="button" dataOnly="0" labelOnly="1" outline="0" fieldPosition="0"/>
    </format>
    <format dxfId="24">
      <pivotArea type="topRight" dataOnly="0" labelOnly="1" outline="0" fieldPosition="0"/>
    </format>
    <format dxfId="25">
      <pivotArea field="6" type="button" dataOnly="0" labelOnly="1" outline="0" fieldPosition="0"/>
    </format>
    <format dxfId="26">
      <pivotArea dataOnly="0" labelOnly="1" fieldPosition="0">
        <references count="1">
          <reference field="6" count="2">
            <x v="0"/>
            <x v="1"/>
          </reference>
        </references>
      </pivotArea>
    </format>
    <format dxfId="27">
      <pivotArea dataOnly="0" labelOnly="1" grandRow="1" outline="0" fieldPosition="0"/>
    </format>
    <format dxfId="28">
      <pivotArea dataOnly="0" labelOnly="1" fieldPosition="0">
        <references count="1">
          <reference field="1" count="0"/>
        </references>
      </pivotArea>
    </format>
    <format dxfId="29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G14" totalsRowShown="0">
  <autoFilter xmlns:etc="http://www.wps.cn/officeDocument/2017/etCustomData" ref="A1:G14" etc:filterBottomFollowUsedRange="0"/>
  <tableColumns count="7">
    <tableColumn id="1" name="assessment_id" dataDxfId="30"/>
    <tableColumn id="2" name="month" dataDxfId="31"/>
    <tableColumn id="3" name="course_id" dataDxfId="32"/>
    <tableColumn id="4" name="batch" dataDxfId="33"/>
    <tableColumn id="5" name="score" dataDxfId="34"/>
    <tableColumn id="6" name="attendance_pct" dataDxfId="35"/>
    <tableColumn id="7" name="pass_flag" dataDxfId="36">
      <calculatedColumnFormula>IF(score&gt;=50,1,0)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C5" totalsRowShown="0">
  <autoFilter xmlns:etc="http://www.wps.cn/officeDocument/2017/etCustomData" ref="A1:C5" etc:filterBottomFollowUsedRange="0"/>
  <tableColumns count="3">
    <tableColumn id="1" name="course_id" dataDxfId="37"/>
    <tableColumn id="2" name="course" dataDxfId="38"/>
    <tableColumn id="3" name="department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46" displayName="Table46" ref="A1:H14" totalsRowShown="0">
  <autoFilter xmlns:etc="http://www.wps.cn/officeDocument/2017/etCustomData" ref="A1:H14" etc:filterBottomFollowUsedRange="0"/>
  <tableColumns count="8">
    <tableColumn id="1" name="assessment_id" dataDxfId="40"/>
    <tableColumn id="2" name="month" dataDxfId="41"/>
    <tableColumn id="3" name="course_id" dataDxfId="42"/>
    <tableColumn id="4" name="batch" dataDxfId="43"/>
    <tableColumn id="5" name="score" dataDxfId="44"/>
    <tableColumn id="6" name="attendance_pct" dataDxfId="45"/>
    <tableColumn id="7" name="Department" dataDxfId="46">
      <calculatedColumnFormula>INDEX('courses(lookup)'!$C$2:$C$5,MATCH(C2,'courses(lookup)'!$A$2:$A$5,0))</calculatedColumnFormula>
    </tableColumn>
    <tableColumn id="8" name="pass_flag" dataDxfId="47">
      <calculatedColumnFormula>IF(E2&gt;=50,1,0)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7:B19" totalsRowShown="0">
  <autoFilter xmlns:etc="http://www.wps.cn/officeDocument/2017/etCustomData" ref="A17:B19" etc:filterBottomFollowUsedRange="0"/>
  <tableColumns count="2">
    <tableColumn id="1" name="Item" dataDxfId="48"/>
    <tableColumn id="2" name="Count" dataDxfId="4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Table1" displayName="Table1" ref="A1:B4" totalsRowShown="0">
  <autoFilter xmlns:etc="http://www.wps.cn/officeDocument/2017/etCustomData" ref="A1:B4" etc:filterBottomFollowUsedRange="0"/>
  <tableColumns count="2">
    <tableColumn id="1" name="Batch" dataDxfId="50"/>
    <tableColumn id="2" name="Passing Assessments" dataDxfId="51">
      <calculatedColumnFormula>COUNTIFS(Clean!$D$2:$D$13,A2,Clean!$H$2:$H$13,1)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2" sqref="A2:G14"/>
    </sheetView>
  </sheetViews>
  <sheetFormatPr defaultColWidth="9" defaultRowHeight="15" outlineLevelCol="6"/>
  <cols>
    <col min="1" max="1" width="16.1428571428571" customWidth="1"/>
    <col min="3" max="3" width="11.7142857142857" customWidth="1"/>
    <col min="6" max="6" width="16.8571428571429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>
        <v>72</v>
      </c>
      <c r="F2" s="3">
        <v>90</v>
      </c>
      <c r="G2" s="3">
        <f>IF(E2&gt;=50,1,0)</f>
        <v>1</v>
      </c>
    </row>
    <row r="3" spans="1:7">
      <c r="A3" s="3">
        <v>2</v>
      </c>
      <c r="B3" s="3" t="s">
        <v>7</v>
      </c>
      <c r="C3" s="3" t="s">
        <v>10</v>
      </c>
      <c r="D3" s="3" t="s">
        <v>11</v>
      </c>
      <c r="E3" s="3">
        <v>45</v>
      </c>
      <c r="F3" s="3">
        <v>70</v>
      </c>
      <c r="G3" s="3">
        <f>IF(E3&gt;=50,1,0)</f>
        <v>0</v>
      </c>
    </row>
    <row r="4" spans="1:7">
      <c r="A4" s="3">
        <v>3</v>
      </c>
      <c r="B4" s="3" t="s">
        <v>7</v>
      </c>
      <c r="C4" s="3" t="s">
        <v>12</v>
      </c>
      <c r="D4" s="3" t="s">
        <v>9</v>
      </c>
      <c r="E4" s="3">
        <v>65</v>
      </c>
      <c r="F4" s="3">
        <v>85</v>
      </c>
      <c r="G4" s="3">
        <f t="shared" ref="G4:G14" si="0">IF(E4&gt;=50,1,0)</f>
        <v>1</v>
      </c>
    </row>
    <row r="5" spans="1:7">
      <c r="A5" s="3">
        <v>4</v>
      </c>
      <c r="B5" s="3" t="s">
        <v>7</v>
      </c>
      <c r="C5" s="3" t="s">
        <v>13</v>
      </c>
      <c r="D5" s="3" t="s">
        <v>14</v>
      </c>
      <c r="E5" s="3">
        <v>38</v>
      </c>
      <c r="F5" s="3">
        <v>60</v>
      </c>
      <c r="G5" s="3">
        <f t="shared" si="0"/>
        <v>0</v>
      </c>
    </row>
    <row r="6" spans="1:7">
      <c r="A6" s="3">
        <v>5</v>
      </c>
      <c r="B6" s="3" t="s">
        <v>15</v>
      </c>
      <c r="C6" s="3" t="s">
        <v>8</v>
      </c>
      <c r="D6" s="3" t="s">
        <v>11</v>
      </c>
      <c r="E6" s="3">
        <v>80</v>
      </c>
      <c r="F6" s="3">
        <v>95</v>
      </c>
      <c r="G6" s="3">
        <f t="shared" si="0"/>
        <v>1</v>
      </c>
    </row>
    <row r="7" spans="1:7">
      <c r="A7" s="3">
        <v>6</v>
      </c>
      <c r="B7" s="3" t="s">
        <v>15</v>
      </c>
      <c r="C7" s="3" t="s">
        <v>10</v>
      </c>
      <c r="D7" s="3" t="s">
        <v>14</v>
      </c>
      <c r="E7" s="3">
        <v>55</v>
      </c>
      <c r="F7" s="3">
        <v>80</v>
      </c>
      <c r="G7" s="3">
        <f t="shared" si="0"/>
        <v>1</v>
      </c>
    </row>
    <row r="8" spans="1:7">
      <c r="A8" s="3">
        <v>7</v>
      </c>
      <c r="B8" s="3" t="s">
        <v>15</v>
      </c>
      <c r="C8" s="3" t="s">
        <v>12</v>
      </c>
      <c r="D8" s="3" t="s">
        <v>9</v>
      </c>
      <c r="E8" s="3">
        <v>48</v>
      </c>
      <c r="F8" s="3">
        <v>75</v>
      </c>
      <c r="G8" s="3">
        <f t="shared" si="0"/>
        <v>0</v>
      </c>
    </row>
    <row r="9" spans="1:7">
      <c r="A9" s="3">
        <v>8</v>
      </c>
      <c r="B9" s="3" t="s">
        <v>15</v>
      </c>
      <c r="C9" s="3" t="s">
        <v>13</v>
      </c>
      <c r="D9" s="3" t="s">
        <v>11</v>
      </c>
      <c r="E9" s="3">
        <v>68</v>
      </c>
      <c r="F9" s="3">
        <v>88</v>
      </c>
      <c r="G9" s="3">
        <f t="shared" si="0"/>
        <v>1</v>
      </c>
    </row>
    <row r="10" spans="1:7">
      <c r="A10" s="3">
        <v>9</v>
      </c>
      <c r="B10" s="3" t="s">
        <v>16</v>
      </c>
      <c r="C10" s="3" t="s">
        <v>8</v>
      </c>
      <c r="D10" s="3" t="s">
        <v>14</v>
      </c>
      <c r="E10" s="3">
        <v>90</v>
      </c>
      <c r="F10" s="3">
        <v>98</v>
      </c>
      <c r="G10" s="3">
        <f t="shared" si="0"/>
        <v>1</v>
      </c>
    </row>
    <row r="11" spans="1:7">
      <c r="A11" s="3">
        <v>10</v>
      </c>
      <c r="B11" s="3" t="s">
        <v>16</v>
      </c>
      <c r="C11" s="3" t="s">
        <v>10</v>
      </c>
      <c r="D11" s="3" t="s">
        <v>9</v>
      </c>
      <c r="E11" s="3">
        <v>60</v>
      </c>
      <c r="F11" s="3">
        <v>82</v>
      </c>
      <c r="G11" s="3">
        <f t="shared" si="0"/>
        <v>1</v>
      </c>
    </row>
    <row r="12" spans="1:7">
      <c r="A12" s="3">
        <v>11</v>
      </c>
      <c r="B12" s="3" t="s">
        <v>16</v>
      </c>
      <c r="C12" s="3" t="s">
        <v>12</v>
      </c>
      <c r="D12" s="3" t="s">
        <v>11</v>
      </c>
      <c r="E12" s="3">
        <v>75</v>
      </c>
      <c r="F12" s="3">
        <v>92</v>
      </c>
      <c r="G12" s="3">
        <f t="shared" si="0"/>
        <v>1</v>
      </c>
    </row>
    <row r="13" spans="1:7">
      <c r="A13" s="3">
        <v>12</v>
      </c>
      <c r="B13" s="3" t="s">
        <v>16</v>
      </c>
      <c r="C13" s="3" t="s">
        <v>13</v>
      </c>
      <c r="D13" s="3" t="s">
        <v>14</v>
      </c>
      <c r="E13" s="3">
        <v>42</v>
      </c>
      <c r="F13" s="3">
        <v>65</v>
      </c>
      <c r="G13" s="3">
        <f t="shared" si="0"/>
        <v>0</v>
      </c>
    </row>
    <row r="14" spans="1:7">
      <c r="A14" s="3">
        <v>12</v>
      </c>
      <c r="B14" s="3" t="s">
        <v>16</v>
      </c>
      <c r="C14" s="3" t="s">
        <v>13</v>
      </c>
      <c r="D14" s="3" t="s">
        <v>14</v>
      </c>
      <c r="E14" s="3">
        <v>42</v>
      </c>
      <c r="F14" s="3">
        <v>65</v>
      </c>
      <c r="G14" s="3">
        <f t="shared" si="0"/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D21" sqref="D21"/>
    </sheetView>
  </sheetViews>
  <sheetFormatPr defaultColWidth="9" defaultRowHeight="15" outlineLevelRow="4" outlineLevelCol="2"/>
  <cols>
    <col min="1" max="1" width="11.7142857142857" customWidth="1"/>
    <col min="3" max="3" width="13.7142857142857" customWidth="1"/>
  </cols>
  <sheetData>
    <row r="1" spans="1:3">
      <c r="A1" s="3" t="s">
        <v>2</v>
      </c>
      <c r="B1" s="3" t="s">
        <v>17</v>
      </c>
      <c r="C1" s="3" t="s">
        <v>18</v>
      </c>
    </row>
    <row r="2" spans="1:3">
      <c r="A2" s="3" t="s">
        <v>8</v>
      </c>
      <c r="B2" s="3" t="s">
        <v>19</v>
      </c>
      <c r="C2" s="3" t="s">
        <v>20</v>
      </c>
    </row>
    <row r="3" spans="1:3">
      <c r="A3" s="3" t="s">
        <v>10</v>
      </c>
      <c r="B3" s="3" t="s">
        <v>21</v>
      </c>
      <c r="C3" s="3" t="s">
        <v>20</v>
      </c>
    </row>
    <row r="4" spans="1:3">
      <c r="A4" s="3" t="s">
        <v>12</v>
      </c>
      <c r="B4" s="3" t="s">
        <v>22</v>
      </c>
      <c r="C4" s="3" t="s">
        <v>23</v>
      </c>
    </row>
    <row r="5" spans="1:3">
      <c r="A5" s="3" t="s">
        <v>13</v>
      </c>
      <c r="B5" s="3" t="s">
        <v>24</v>
      </c>
      <c r="C5" s="3" t="s">
        <v>23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C26" sqref="C26"/>
    </sheetView>
  </sheetViews>
  <sheetFormatPr defaultColWidth="9" defaultRowHeight="15" outlineLevelCol="7"/>
  <cols>
    <col min="1" max="1" width="16.5714285714286" customWidth="1"/>
    <col min="2" max="2" width="10.8571428571429" customWidth="1"/>
    <col min="3" max="3" width="13.5714285714286" customWidth="1"/>
    <col min="6" max="6" width="17.7142857142857" customWidth="1"/>
    <col min="7" max="7" width="15.1428571428571" customWidth="1"/>
    <col min="8" max="8" width="12.5714285714286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25</v>
      </c>
      <c r="H1" s="3" t="s">
        <v>6</v>
      </c>
    </row>
    <row r="2" spans="1:8">
      <c r="A2" s="6">
        <v>1</v>
      </c>
      <c r="B2" s="7" t="s">
        <v>7</v>
      </c>
      <c r="C2" s="7" t="s">
        <v>8</v>
      </c>
      <c r="D2" s="3" t="s">
        <v>9</v>
      </c>
      <c r="E2" s="6">
        <v>72</v>
      </c>
      <c r="F2" s="6">
        <v>90</v>
      </c>
      <c r="G2" s="7" t="str">
        <f>INDEX('courses(lookup)'!$C$2:$C$5,MATCH(C2,'courses(lookup)'!$A$2:$A$5,0))</f>
        <v>Business</v>
      </c>
      <c r="H2" s="3">
        <f>IF(E2&gt;=50,1,0)</f>
        <v>1</v>
      </c>
    </row>
    <row r="3" spans="1:8">
      <c r="A3" s="6">
        <v>2</v>
      </c>
      <c r="B3" s="7" t="s">
        <v>7</v>
      </c>
      <c r="C3" s="7" t="s">
        <v>10</v>
      </c>
      <c r="D3" s="3" t="s">
        <v>11</v>
      </c>
      <c r="E3" s="6">
        <v>45</v>
      </c>
      <c r="F3" s="6">
        <v>70</v>
      </c>
      <c r="G3" s="7" t="str">
        <f>INDEX('courses(lookup)'!$C$2:$C$5,MATCH(C3,'courses(lookup)'!$A$2:$A$5,0))</f>
        <v>Business</v>
      </c>
      <c r="H3" s="3">
        <f t="shared" ref="H3:H13" si="0">IF(E3&gt;=50,1,0)</f>
        <v>0</v>
      </c>
    </row>
    <row r="4" spans="1:8">
      <c r="A4" s="6">
        <v>3</v>
      </c>
      <c r="B4" s="7" t="s">
        <v>7</v>
      </c>
      <c r="C4" s="7" t="s">
        <v>12</v>
      </c>
      <c r="D4" s="3" t="s">
        <v>9</v>
      </c>
      <c r="E4" s="6">
        <v>65</v>
      </c>
      <c r="F4" s="6">
        <v>85</v>
      </c>
      <c r="G4" s="7" t="str">
        <f>INDEX('courses(lookup)'!$C$2:$C$5,MATCH(C4,'courses(lookup)'!$A$2:$A$5,0))</f>
        <v>Technology</v>
      </c>
      <c r="H4" s="3">
        <f t="shared" si="0"/>
        <v>1</v>
      </c>
    </row>
    <row r="5" spans="1:8">
      <c r="A5" s="6">
        <v>4</v>
      </c>
      <c r="B5" s="7" t="s">
        <v>7</v>
      </c>
      <c r="C5" s="7" t="s">
        <v>13</v>
      </c>
      <c r="D5" s="3" t="s">
        <v>14</v>
      </c>
      <c r="E5" s="6">
        <v>38</v>
      </c>
      <c r="F5" s="6">
        <v>60</v>
      </c>
      <c r="G5" s="7" t="str">
        <f>INDEX('courses(lookup)'!$C$2:$C$5,MATCH(C5,'courses(lookup)'!$A$2:$A$5,0))</f>
        <v>Technology</v>
      </c>
      <c r="H5" s="3">
        <f t="shared" si="0"/>
        <v>0</v>
      </c>
    </row>
    <row r="6" spans="1:8">
      <c r="A6" s="6">
        <v>5</v>
      </c>
      <c r="B6" s="7" t="s">
        <v>15</v>
      </c>
      <c r="C6" s="7" t="s">
        <v>8</v>
      </c>
      <c r="D6" s="3" t="s">
        <v>11</v>
      </c>
      <c r="E6" s="6">
        <v>80</v>
      </c>
      <c r="F6" s="6">
        <v>95</v>
      </c>
      <c r="G6" s="7" t="str">
        <f>INDEX('courses(lookup)'!$C$2:$C$5,MATCH(C6,'courses(lookup)'!$A$2:$A$5,0))</f>
        <v>Business</v>
      </c>
      <c r="H6" s="3">
        <f t="shared" si="0"/>
        <v>1</v>
      </c>
    </row>
    <row r="7" spans="1:8">
      <c r="A7" s="6">
        <v>6</v>
      </c>
      <c r="B7" s="7" t="s">
        <v>15</v>
      </c>
      <c r="C7" s="7" t="s">
        <v>10</v>
      </c>
      <c r="D7" s="3" t="s">
        <v>14</v>
      </c>
      <c r="E7" s="6">
        <v>55</v>
      </c>
      <c r="F7" s="6">
        <v>80</v>
      </c>
      <c r="G7" s="7" t="str">
        <f>INDEX('courses(lookup)'!$C$2:$C$5,MATCH(C7,'courses(lookup)'!$A$2:$A$5,0))</f>
        <v>Business</v>
      </c>
      <c r="H7" s="3">
        <f t="shared" si="0"/>
        <v>1</v>
      </c>
    </row>
    <row r="8" spans="1:8">
      <c r="A8" s="6">
        <v>7</v>
      </c>
      <c r="B8" s="7" t="s">
        <v>15</v>
      </c>
      <c r="C8" s="7" t="s">
        <v>12</v>
      </c>
      <c r="D8" s="3" t="s">
        <v>9</v>
      </c>
      <c r="E8" s="6">
        <v>48</v>
      </c>
      <c r="F8" s="6">
        <v>75</v>
      </c>
      <c r="G8" s="7" t="str">
        <f>INDEX('courses(lookup)'!$C$2:$C$5,MATCH(C8,'courses(lookup)'!$A$2:$A$5,0))</f>
        <v>Technology</v>
      </c>
      <c r="H8" s="3">
        <f t="shared" si="0"/>
        <v>0</v>
      </c>
    </row>
    <row r="9" spans="1:8">
      <c r="A9" s="6">
        <v>8</v>
      </c>
      <c r="B9" s="7" t="s">
        <v>15</v>
      </c>
      <c r="C9" s="7" t="s">
        <v>13</v>
      </c>
      <c r="D9" s="3" t="s">
        <v>11</v>
      </c>
      <c r="E9" s="6">
        <v>68</v>
      </c>
      <c r="F9" s="6">
        <v>88</v>
      </c>
      <c r="G9" s="7" t="str">
        <f>INDEX('courses(lookup)'!$C$2:$C$5,MATCH(C9,'courses(lookup)'!$A$2:$A$5,0))</f>
        <v>Technology</v>
      </c>
      <c r="H9" s="3">
        <f t="shared" si="0"/>
        <v>1</v>
      </c>
    </row>
    <row r="10" spans="1:8">
      <c r="A10" s="6">
        <v>9</v>
      </c>
      <c r="B10" s="7" t="s">
        <v>16</v>
      </c>
      <c r="C10" s="7" t="s">
        <v>8</v>
      </c>
      <c r="D10" s="3" t="s">
        <v>14</v>
      </c>
      <c r="E10" s="6">
        <v>90</v>
      </c>
      <c r="F10" s="6">
        <v>98</v>
      </c>
      <c r="G10" s="7" t="str">
        <f>INDEX('courses(lookup)'!$C$2:$C$5,MATCH(C10,'courses(lookup)'!$A$2:$A$5,0))</f>
        <v>Business</v>
      </c>
      <c r="H10" s="3">
        <f t="shared" si="0"/>
        <v>1</v>
      </c>
    </row>
    <row r="11" spans="1:8">
      <c r="A11" s="6">
        <v>10</v>
      </c>
      <c r="B11" s="7" t="s">
        <v>16</v>
      </c>
      <c r="C11" s="7" t="s">
        <v>10</v>
      </c>
      <c r="D11" s="3" t="s">
        <v>9</v>
      </c>
      <c r="E11" s="6">
        <v>60</v>
      </c>
      <c r="F11" s="6">
        <v>82</v>
      </c>
      <c r="G11" s="7" t="str">
        <f>INDEX('courses(lookup)'!$C$2:$C$5,MATCH(C11,'courses(lookup)'!$A$2:$A$5,0))</f>
        <v>Business</v>
      </c>
      <c r="H11" s="3">
        <f t="shared" si="0"/>
        <v>1</v>
      </c>
    </row>
    <row r="12" spans="1:8">
      <c r="A12" s="6">
        <v>11</v>
      </c>
      <c r="B12" s="7" t="s">
        <v>16</v>
      </c>
      <c r="C12" s="7" t="s">
        <v>12</v>
      </c>
      <c r="D12" s="3" t="s">
        <v>11</v>
      </c>
      <c r="E12" s="6">
        <v>75</v>
      </c>
      <c r="F12" s="6">
        <v>92</v>
      </c>
      <c r="G12" s="7" t="str">
        <f>INDEX('courses(lookup)'!$C$2:$C$5,MATCH(C12,'courses(lookup)'!$A$2:$A$5,0))</f>
        <v>Technology</v>
      </c>
      <c r="H12" s="3">
        <f t="shared" si="0"/>
        <v>1</v>
      </c>
    </row>
    <row r="13" spans="1:8">
      <c r="A13" s="6">
        <v>12</v>
      </c>
      <c r="B13" s="7" t="s">
        <v>16</v>
      </c>
      <c r="C13" s="7" t="s">
        <v>13</v>
      </c>
      <c r="D13" s="3" t="s">
        <v>14</v>
      </c>
      <c r="E13" s="6">
        <v>42</v>
      </c>
      <c r="F13" s="6">
        <v>65</v>
      </c>
      <c r="G13" s="7" t="str">
        <f>INDEX('courses(lookup)'!$C$2:$C$5,MATCH(C13,'courses(lookup)'!$A$2:$A$5,0))</f>
        <v>Technology</v>
      </c>
      <c r="H13" s="3">
        <f t="shared" si="0"/>
        <v>0</v>
      </c>
    </row>
    <row r="14" spans="1:8">
      <c r="A14" s="6"/>
      <c r="B14" s="7"/>
      <c r="C14" s="7"/>
      <c r="D14" s="3"/>
      <c r="E14" s="6"/>
      <c r="F14" s="6"/>
      <c r="G14" s="7"/>
      <c r="H14" s="3"/>
    </row>
    <row r="17" spans="1:2">
      <c r="A17" s="1" t="s">
        <v>26</v>
      </c>
      <c r="B17" s="8" t="s">
        <v>27</v>
      </c>
    </row>
    <row r="18" ht="30" spans="1:2">
      <c r="A18" s="9" t="s">
        <v>28</v>
      </c>
      <c r="B18" s="8">
        <v>13</v>
      </c>
    </row>
    <row r="19" ht="30" spans="1:2">
      <c r="A19" s="9" t="s">
        <v>29</v>
      </c>
      <c r="B19" s="8">
        <v>12</v>
      </c>
    </row>
  </sheetData>
  <conditionalFormatting sqref="B18:B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{000f0e16-150d-4bd0-bc87-9b7546849d94}</x14:id>
        </ext>
      </extLst>
    </cfRule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1" orientation="portrait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f0e16-150d-4bd0-bc87-9b7546849d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B18:B19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G36" sqref="G36"/>
    </sheetView>
  </sheetViews>
  <sheetFormatPr defaultColWidth="9" defaultRowHeight="15" outlineLevelCol="4"/>
  <cols>
    <col min="1" max="1" width="15.8571428571429" customWidth="1"/>
    <col min="2" max="2" width="16.2857142857143" customWidth="1"/>
    <col min="3" max="4" width="6" customWidth="1"/>
    <col min="5" max="6" width="11.2857142857143" customWidth="1"/>
  </cols>
  <sheetData>
    <row r="1" spans="1:5">
      <c r="A1" s="1" t="s">
        <v>30</v>
      </c>
      <c r="B1" s="2" t="s">
        <v>31</v>
      </c>
    </row>
    <row r="2" spans="1:5">
      <c r="A2" s="3" t="s">
        <v>9</v>
      </c>
      <c r="B2" s="3">
        <f>COUNTIFS(Clean!$D$2:$D$13,A2,Clean!$H$2:$H$13,1)</f>
        <v>3</v>
      </c>
    </row>
    <row r="3" spans="1:5">
      <c r="A3" s="3" t="s">
        <v>11</v>
      </c>
      <c r="B3" s="3">
        <f>COUNTIFS(Clean!$D$2:$D$13,A3,Clean!$H$2:$H$13,1)</f>
        <v>3</v>
      </c>
    </row>
    <row r="4" spans="1:5">
      <c r="A4" s="3" t="s">
        <v>14</v>
      </c>
      <c r="B4" s="3">
        <f>COUNTIFS(Clean!$D$2:$D$13,A4,Clean!$H$2:$H$13,1)</f>
        <v>2</v>
      </c>
    </row>
    <row r="9" spans="1:5">
      <c r="A9" s="3" t="s">
        <v>32</v>
      </c>
      <c r="B9" s="3" t="s">
        <v>33</v>
      </c>
      <c r="C9" s="3"/>
      <c r="D9" s="3"/>
      <c r="E9" s="3"/>
    </row>
    <row r="10" spans="1:5">
      <c r="A10" s="3" t="s">
        <v>34</v>
      </c>
      <c r="B10" s="3" t="s">
        <v>7</v>
      </c>
      <c r="C10" s="3" t="s">
        <v>15</v>
      </c>
      <c r="D10" s="3" t="s">
        <v>16</v>
      </c>
      <c r="E10" s="3" t="s">
        <v>35</v>
      </c>
    </row>
    <row r="11" spans="1:5">
      <c r="A11" s="4" t="s">
        <v>20</v>
      </c>
      <c r="B11" s="5">
        <v>58.5</v>
      </c>
      <c r="C11" s="5">
        <v>67.5</v>
      </c>
      <c r="D11" s="5">
        <v>75</v>
      </c>
      <c r="E11" s="5">
        <v>67</v>
      </c>
    </row>
    <row r="12" spans="1:5">
      <c r="A12" s="4" t="s">
        <v>23</v>
      </c>
      <c r="B12" s="5">
        <v>51.5</v>
      </c>
      <c r="C12" s="5">
        <v>58</v>
      </c>
      <c r="D12" s="5">
        <v>58.5</v>
      </c>
      <c r="E12" s="5">
        <v>56</v>
      </c>
    </row>
    <row r="13" spans="1:5">
      <c r="A13" s="4" t="s">
        <v>35</v>
      </c>
      <c r="B13" s="5">
        <v>55</v>
      </c>
      <c r="C13" s="5">
        <v>62.75</v>
      </c>
      <c r="D13" s="5">
        <v>66.75</v>
      </c>
      <c r="E13" s="5">
        <v>61.5</v>
      </c>
    </row>
  </sheetData>
  <pageMargins left="0.7" right="0.7" top="0.75" bottom="0.75" header="0.3" footer="0.3"/>
  <pageSetup paperSize="1" orientation="portrait"/>
  <headerFooter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assessments(Row)</vt:lpstr>
      <vt:lpstr>courses(lookup)</vt:lpstr>
      <vt:lpstr>Clean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ZALA AJAY</dc:creator>
  <cp:lastModifiedBy>hp</cp:lastModifiedBy>
  <dcterms:created xsi:type="dcterms:W3CDTF">2026-09-26T08:38:00Z</dcterms:created>
  <dcterms:modified xsi:type="dcterms:W3CDTF">2026-09-26T13:06:10Z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32565DA05A554ACC80BF29B5B62258B4_12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